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ppel\Documents\GitHub\Moin-MINT\unterlagen\Energie\"/>
    </mc:Choice>
  </mc:AlternateContent>
  <xr:revisionPtr revIDLastSave="0" documentId="13_ncr:1_{5ACABC41-2417-403B-A416-5FE9A50763DD}" xr6:coauthVersionLast="47" xr6:coauthVersionMax="47" xr10:uidLastSave="{00000000-0000-0000-0000-000000000000}"/>
  <bookViews>
    <workbookView xWindow="29055" yWindow="150" windowWidth="28800" windowHeight="15345" activeTab="1" xr2:uid="{00000000-000D-0000-FFFF-FFFF00000000}"/>
  </bookViews>
  <sheets>
    <sheet name="Flächenbedarf" sheetId="1" r:id="rId1"/>
    <sheet name="Wärmepumpe" sheetId="2" r:id="rId2"/>
    <sheet name="Atom" sheetId="3" r:id="rId3"/>
    <sheet name="Einfuhr Foss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N4" i="4"/>
  <c r="D1" i="4"/>
  <c r="D2" i="4"/>
  <c r="N2" i="4"/>
  <c r="M2" i="4"/>
  <c r="L2" i="4"/>
  <c r="M6" i="4"/>
  <c r="M7" i="4"/>
  <c r="M4" i="4"/>
  <c r="L6" i="4"/>
  <c r="L7" i="4"/>
  <c r="L4" i="4"/>
  <c r="K4" i="4"/>
  <c r="J4" i="4"/>
  <c r="G6" i="4"/>
  <c r="K6" i="4" s="1"/>
  <c r="D5" i="4"/>
  <c r="E5" i="4" s="1"/>
  <c r="D6" i="4"/>
  <c r="E6" i="4" s="1"/>
  <c r="D7" i="4"/>
  <c r="E7" i="4" s="1"/>
  <c r="D4" i="4"/>
  <c r="E4" i="4" s="1"/>
  <c r="E6" i="3"/>
  <c r="E7" i="3"/>
  <c r="E8" i="3"/>
  <c r="E9" i="3"/>
  <c r="E10" i="3"/>
  <c r="E11" i="3"/>
  <c r="E5" i="3"/>
  <c r="D6" i="3"/>
  <c r="D7" i="3"/>
  <c r="D8" i="3"/>
  <c r="D9" i="3"/>
  <c r="D10" i="3"/>
  <c r="D11" i="3"/>
  <c r="D5" i="3"/>
  <c r="B4" i="3"/>
  <c r="C5" i="2"/>
  <c r="C6" i="2"/>
  <c r="C7" i="2"/>
  <c r="C8" i="2"/>
  <c r="C9" i="2"/>
  <c r="C10" i="2"/>
  <c r="C4" i="2"/>
  <c r="D32" i="1"/>
  <c r="D33" i="1"/>
  <c r="E33" i="1" s="1"/>
  <c r="D34" i="1"/>
  <c r="E34" i="1" s="1"/>
  <c r="D35" i="1"/>
  <c r="E35" i="1" s="1"/>
  <c r="D36" i="1"/>
  <c r="D37" i="1"/>
  <c r="D31" i="1"/>
  <c r="E37" i="1"/>
  <c r="E36" i="1"/>
  <c r="E32" i="1"/>
  <c r="E31" i="1"/>
  <c r="D20" i="1"/>
  <c r="D21" i="1"/>
  <c r="E21" i="1" s="1"/>
  <c r="D22" i="1"/>
  <c r="E22" i="1" s="1"/>
  <c r="D23" i="1"/>
  <c r="E23" i="1" s="1"/>
  <c r="D24" i="1"/>
  <c r="E24" i="1" s="1"/>
  <c r="D25" i="1"/>
  <c r="D19" i="1"/>
  <c r="E19" i="1" s="1"/>
  <c r="E25" i="1"/>
  <c r="E20" i="1"/>
  <c r="E8" i="1"/>
  <c r="E9" i="1"/>
  <c r="E10" i="1"/>
  <c r="E11" i="1"/>
  <c r="E12" i="1"/>
  <c r="E13" i="1"/>
  <c r="E7" i="1"/>
  <c r="D8" i="1"/>
  <c r="D9" i="1"/>
  <c r="D10" i="1"/>
  <c r="D11" i="1"/>
  <c r="D12" i="1"/>
  <c r="D13" i="1"/>
  <c r="D7" i="1"/>
</calcChain>
</file>

<file path=xl/sharedStrings.xml><?xml version="1.0" encoding="utf-8"?>
<sst xmlns="http://schemas.openxmlformats.org/spreadsheetml/2006/main" count="49" uniqueCount="38">
  <si>
    <t>Bundesbürger</t>
  </si>
  <si>
    <t>Bundesfläche [km]</t>
  </si>
  <si>
    <t>Tage im Jahr</t>
  </si>
  <si>
    <t>Engerie je BB und Tag [kW h]</t>
  </si>
  <si>
    <t>Flächenbedarf [km]</t>
  </si>
  <si>
    <t>Flächenbedarf [%]</t>
  </si>
  <si>
    <t>Flächenbedarf je kW h und Tag</t>
  </si>
  <si>
    <t>Wind Onshore</t>
  </si>
  <si>
    <t>Wind Offshore</t>
  </si>
  <si>
    <t>Wärmepumpe</t>
  </si>
  <si>
    <t>Anteil %</t>
  </si>
  <si>
    <t>Gesamtwärmeenergie pro BB und Tag</t>
  </si>
  <si>
    <t>Tage im Studnen am Tag</t>
  </si>
  <si>
    <t>Leistung je Reaktorblock</t>
  </si>
  <si>
    <t>Atomreaktorblöcke</t>
  </si>
  <si>
    <t>Anzahl Reaktorblöcke</t>
  </si>
  <si>
    <t>Energie je BB und Tag [kW h]</t>
  </si>
  <si>
    <t>Anzahl Atomkraftwerke</t>
  </si>
  <si>
    <t>kW h</t>
  </si>
  <si>
    <t>Steinkohle</t>
  </si>
  <si>
    <t>Braunkohle</t>
  </si>
  <si>
    <t>Nettoeinfuhr 2023</t>
  </si>
  <si>
    <t>PJ</t>
  </si>
  <si>
    <t>Mineralöle</t>
  </si>
  <si>
    <t>Erdgas, Erdölgas</t>
  </si>
  <si>
    <t>kW h Pro Kopf und Tag</t>
  </si>
  <si>
    <t>€ / kW h</t>
  </si>
  <si>
    <t xml:space="preserve">€ </t>
  </si>
  <si>
    <t>Summe</t>
  </si>
  <si>
    <t>Mrd. €</t>
  </si>
  <si>
    <t>USD pro barrel</t>
  </si>
  <si>
    <t>€ pro barrel</t>
  </si>
  <si>
    <t>€ pro t</t>
  </si>
  <si>
    <t>MJ/t</t>
  </si>
  <si>
    <t>€/MJ</t>
  </si>
  <si>
    <t>Statista Mrd. €</t>
  </si>
  <si>
    <t>Wärmeenergie</t>
  </si>
  <si>
    <t>ersparte 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</si>
</sst>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2" applyNumberFormat="1" applyFont="1"/>
    <xf numFmtId="164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/>
    <xf numFmtId="11" fontId="0" fillId="0" borderId="0" xfId="0" applyNumberFormat="1"/>
    <xf numFmtId="166" fontId="0" fillId="0" borderId="0" xfId="0" applyNumberFormat="1"/>
    <xf numFmtId="167" fontId="0" fillId="0" borderId="0" xfId="2" applyNumberFormat="1" applyFont="1"/>
    <xf numFmtId="1" fontId="0" fillId="0" borderId="0" xfId="2" applyNumberFormat="1" applyFont="1"/>
    <xf numFmtId="2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C6" sqref="C6:D13"/>
    </sheetView>
  </sheetViews>
  <sheetFormatPr baseColWidth="10" defaultColWidth="9.140625" defaultRowHeight="15" x14ac:dyDescent="0.25"/>
  <cols>
    <col min="1" max="1" width="28.42578125" bestFit="1" customWidth="1"/>
    <col min="3" max="3" width="26.5703125" bestFit="1" customWidth="1"/>
    <col min="4" max="4" width="18.42578125" bestFit="1" customWidth="1"/>
    <col min="5" max="5" width="17.28515625" bestFit="1" customWidth="1"/>
  </cols>
  <sheetData>
    <row r="1" spans="1:5" x14ac:dyDescent="0.25">
      <c r="A1" t="s">
        <v>2</v>
      </c>
      <c r="B1">
        <v>365</v>
      </c>
    </row>
    <row r="2" spans="1:5" x14ac:dyDescent="0.25">
      <c r="A2" t="s">
        <v>1</v>
      </c>
      <c r="B2">
        <v>357588</v>
      </c>
    </row>
    <row r="3" spans="1:5" x14ac:dyDescent="0.25">
      <c r="A3" t="s">
        <v>0</v>
      </c>
      <c r="B3">
        <v>84669000</v>
      </c>
    </row>
    <row r="5" spans="1:5" x14ac:dyDescent="0.25">
      <c r="A5" t="s">
        <v>6</v>
      </c>
      <c r="B5">
        <v>16</v>
      </c>
      <c r="C5" s="11" t="s">
        <v>7</v>
      </c>
      <c r="D5" s="11"/>
      <c r="E5" s="11"/>
    </row>
    <row r="6" spans="1:5" x14ac:dyDescent="0.25">
      <c r="C6" t="s">
        <v>3</v>
      </c>
      <c r="D6" t="s">
        <v>4</v>
      </c>
      <c r="E6" t="s">
        <v>5</v>
      </c>
    </row>
    <row r="7" spans="1:5" x14ac:dyDescent="0.25">
      <c r="C7">
        <v>1</v>
      </c>
      <c r="D7" s="2">
        <f>C7*$B$5*$B$3/1000000</f>
        <v>1354.704</v>
      </c>
      <c r="E7" s="1">
        <f>D7/$B$2</f>
        <v>3.7884492768213698E-3</v>
      </c>
    </row>
    <row r="8" spans="1:5" x14ac:dyDescent="0.25">
      <c r="C8">
        <v>5</v>
      </c>
      <c r="D8" s="2">
        <f t="shared" ref="D8:D13" si="0">C8*$B$5*$B$3/1000000</f>
        <v>6773.52</v>
      </c>
      <c r="E8" s="1">
        <f t="shared" ref="E8:E13" si="1">D8/$B$2</f>
        <v>1.894224638410685E-2</v>
      </c>
    </row>
    <row r="9" spans="1:5" x14ac:dyDescent="0.25">
      <c r="C9">
        <v>10</v>
      </c>
      <c r="D9" s="2">
        <f t="shared" si="0"/>
        <v>13547.04</v>
      </c>
      <c r="E9" s="1">
        <f t="shared" si="1"/>
        <v>3.78844927682137E-2</v>
      </c>
    </row>
    <row r="10" spans="1:5" x14ac:dyDescent="0.25">
      <c r="C10">
        <v>20</v>
      </c>
      <c r="D10" s="2">
        <f t="shared" si="0"/>
        <v>27094.080000000002</v>
      </c>
      <c r="E10" s="1">
        <f t="shared" si="1"/>
        <v>7.57689855364274E-2</v>
      </c>
    </row>
    <row r="11" spans="1:5" x14ac:dyDescent="0.25">
      <c r="C11">
        <v>30</v>
      </c>
      <c r="D11" s="2">
        <f t="shared" si="0"/>
        <v>40641.120000000003</v>
      </c>
      <c r="E11" s="1">
        <f t="shared" si="1"/>
        <v>0.11365347830464111</v>
      </c>
    </row>
    <row r="12" spans="1:5" x14ac:dyDescent="0.25">
      <c r="C12">
        <v>50</v>
      </c>
      <c r="D12" s="2">
        <f t="shared" si="0"/>
        <v>67735.199999999997</v>
      </c>
      <c r="E12" s="1">
        <f t="shared" si="1"/>
        <v>0.18942246384106848</v>
      </c>
    </row>
    <row r="13" spans="1:5" x14ac:dyDescent="0.25">
      <c r="C13">
        <v>100</v>
      </c>
      <c r="D13" s="2">
        <f t="shared" si="0"/>
        <v>135470.39999999999</v>
      </c>
      <c r="E13" s="1">
        <f t="shared" si="1"/>
        <v>0.37884492768213696</v>
      </c>
    </row>
    <row r="17" spans="1:5" x14ac:dyDescent="0.25">
      <c r="A17" t="s">
        <v>6</v>
      </c>
      <c r="B17">
        <v>8</v>
      </c>
      <c r="C17" s="11" t="s">
        <v>8</v>
      </c>
      <c r="D17" s="11"/>
      <c r="E17" s="11"/>
    </row>
    <row r="18" spans="1:5" x14ac:dyDescent="0.25">
      <c r="C18" t="s">
        <v>3</v>
      </c>
      <c r="D18" t="s">
        <v>4</v>
      </c>
      <c r="E18" t="s">
        <v>5</v>
      </c>
    </row>
    <row r="19" spans="1:5" x14ac:dyDescent="0.25">
      <c r="C19">
        <v>1</v>
      </c>
      <c r="D19" s="2">
        <f>C19*$B$17*$B$3/1000000</f>
        <v>677.35199999999998</v>
      </c>
      <c r="E19" s="1">
        <f>D19/$B$2</f>
        <v>1.8942246384106849E-3</v>
      </c>
    </row>
    <row r="20" spans="1:5" x14ac:dyDescent="0.25">
      <c r="C20">
        <v>5</v>
      </c>
      <c r="D20" s="2">
        <f t="shared" ref="D20:D25" si="2">C20*$B$17*$B$3/1000000</f>
        <v>3386.76</v>
      </c>
      <c r="E20" s="1">
        <f t="shared" ref="E20:E25" si="3">D20/$B$2</f>
        <v>9.4711231920534249E-3</v>
      </c>
    </row>
    <row r="21" spans="1:5" x14ac:dyDescent="0.25">
      <c r="C21">
        <v>10</v>
      </c>
      <c r="D21" s="2">
        <f t="shared" si="2"/>
        <v>6773.52</v>
      </c>
      <c r="E21" s="1">
        <f t="shared" si="3"/>
        <v>1.894224638410685E-2</v>
      </c>
    </row>
    <row r="22" spans="1:5" x14ac:dyDescent="0.25">
      <c r="C22">
        <v>20</v>
      </c>
      <c r="D22" s="2">
        <f t="shared" si="2"/>
        <v>13547.04</v>
      </c>
      <c r="E22" s="1">
        <f t="shared" si="3"/>
        <v>3.78844927682137E-2</v>
      </c>
    </row>
    <row r="23" spans="1:5" x14ac:dyDescent="0.25">
      <c r="C23">
        <v>30</v>
      </c>
      <c r="D23" s="2">
        <f t="shared" si="2"/>
        <v>20320.560000000001</v>
      </c>
      <c r="E23" s="1">
        <f t="shared" si="3"/>
        <v>5.6826739152320553E-2</v>
      </c>
    </row>
    <row r="24" spans="1:5" x14ac:dyDescent="0.25">
      <c r="C24">
        <v>50</v>
      </c>
      <c r="D24" s="2">
        <f t="shared" si="2"/>
        <v>33867.599999999999</v>
      </c>
      <c r="E24" s="1">
        <f t="shared" si="3"/>
        <v>9.4711231920534239E-2</v>
      </c>
    </row>
    <row r="25" spans="1:5" x14ac:dyDescent="0.25">
      <c r="C25">
        <v>100</v>
      </c>
      <c r="D25" s="2">
        <f t="shared" si="2"/>
        <v>67735.199999999997</v>
      </c>
      <c r="E25" s="1">
        <f t="shared" si="3"/>
        <v>0.18942246384106848</v>
      </c>
    </row>
    <row r="29" spans="1:5" x14ac:dyDescent="0.25">
      <c r="A29" t="s">
        <v>6</v>
      </c>
      <c r="B29">
        <v>150</v>
      </c>
      <c r="C29" s="11" t="s">
        <v>8</v>
      </c>
      <c r="D29" s="11"/>
      <c r="E29" s="11"/>
    </row>
    <row r="30" spans="1:5" x14ac:dyDescent="0.25">
      <c r="C30" t="s">
        <v>3</v>
      </c>
      <c r="D30" t="s">
        <v>4</v>
      </c>
      <c r="E30" t="s">
        <v>5</v>
      </c>
    </row>
    <row r="31" spans="1:5" x14ac:dyDescent="0.25">
      <c r="C31">
        <v>1</v>
      </c>
      <c r="D31" s="2">
        <f>C31*$B$29*$B$3/1000000</f>
        <v>12700.35</v>
      </c>
      <c r="E31" s="1">
        <f>D31/$B$2</f>
        <v>3.5516711970200343E-2</v>
      </c>
    </row>
    <row r="32" spans="1:5" x14ac:dyDescent="0.25">
      <c r="C32">
        <v>5</v>
      </c>
      <c r="D32" s="2">
        <f t="shared" ref="D32:D37" si="4">C32*$B$29*$B$3/1000000</f>
        <v>63501.75</v>
      </c>
      <c r="E32" s="1">
        <f t="shared" ref="E32:E37" si="5">D32/$B$2</f>
        <v>0.17758355985100172</v>
      </c>
    </row>
    <row r="33" spans="3:5" x14ac:dyDescent="0.25">
      <c r="C33">
        <v>10</v>
      </c>
      <c r="D33" s="2">
        <f t="shared" si="4"/>
        <v>127003.5</v>
      </c>
      <c r="E33" s="1">
        <f t="shared" si="5"/>
        <v>0.35516711970200343</v>
      </c>
    </row>
    <row r="34" spans="3:5" x14ac:dyDescent="0.25">
      <c r="C34">
        <v>20</v>
      </c>
      <c r="D34" s="2">
        <f t="shared" si="4"/>
        <v>254007</v>
      </c>
      <c r="E34" s="1">
        <f t="shared" si="5"/>
        <v>0.71033423940400686</v>
      </c>
    </row>
    <row r="35" spans="3:5" x14ac:dyDescent="0.25">
      <c r="C35">
        <v>30</v>
      </c>
      <c r="D35" s="2">
        <f t="shared" si="4"/>
        <v>381010.5</v>
      </c>
      <c r="E35" s="1">
        <f t="shared" si="5"/>
        <v>1.0655013591060103</v>
      </c>
    </row>
    <row r="36" spans="3:5" x14ac:dyDescent="0.25">
      <c r="C36">
        <v>50</v>
      </c>
      <c r="D36" s="2">
        <f t="shared" si="4"/>
        <v>635017.5</v>
      </c>
      <c r="E36" s="1">
        <f t="shared" si="5"/>
        <v>1.7758355985100172</v>
      </c>
    </row>
    <row r="37" spans="3:5" x14ac:dyDescent="0.25">
      <c r="C37">
        <v>100</v>
      </c>
      <c r="D37" s="2">
        <f t="shared" si="4"/>
        <v>1270035</v>
      </c>
      <c r="E37" s="1">
        <f t="shared" si="5"/>
        <v>3.5516711970200343</v>
      </c>
    </row>
  </sheetData>
  <mergeCells count="3">
    <mergeCell ref="C5:E5"/>
    <mergeCell ref="C17:E17"/>
    <mergeCell ref="C29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2F13-015D-4080-91D2-940263D1CE9E}">
  <dimension ref="A2:D10"/>
  <sheetViews>
    <sheetView tabSelected="1" workbookViewId="0">
      <selection activeCell="D10" sqref="D4:D10"/>
    </sheetView>
  </sheetViews>
  <sheetFormatPr baseColWidth="10" defaultRowHeight="15" x14ac:dyDescent="0.25"/>
  <cols>
    <col min="1" max="1" width="32" bestFit="1" customWidth="1"/>
    <col min="3" max="3" width="15" bestFit="1" customWidth="1"/>
    <col min="4" max="4" width="23.140625" bestFit="1" customWidth="1"/>
  </cols>
  <sheetData>
    <row r="2" spans="1:4" x14ac:dyDescent="0.25">
      <c r="A2" t="s">
        <v>11</v>
      </c>
      <c r="B2" s="11" t="s">
        <v>9</v>
      </c>
      <c r="C2" s="11"/>
      <c r="D2" s="11"/>
    </row>
    <row r="3" spans="1:4" x14ac:dyDescent="0.25">
      <c r="A3">
        <v>17</v>
      </c>
      <c r="B3" t="s">
        <v>10</v>
      </c>
      <c r="C3" t="s">
        <v>36</v>
      </c>
      <c r="D3" t="s">
        <v>37</v>
      </c>
    </row>
    <row r="4" spans="1:4" x14ac:dyDescent="0.25">
      <c r="B4">
        <v>5</v>
      </c>
      <c r="C4" s="4">
        <f>$A$3*B4/100</f>
        <v>0.85</v>
      </c>
      <c r="D4" s="4">
        <f t="shared" ref="D4:D9" si="0">C4/3*2</f>
        <v>0.56666666666666665</v>
      </c>
    </row>
    <row r="5" spans="1:4" x14ac:dyDescent="0.25">
      <c r="B5">
        <v>10</v>
      </c>
      <c r="C5" s="4">
        <f t="shared" ref="C5:C10" si="1">$A$3*B5/100</f>
        <v>1.7</v>
      </c>
      <c r="D5" s="4">
        <f t="shared" si="0"/>
        <v>1.1333333333333333</v>
      </c>
    </row>
    <row r="6" spans="1:4" x14ac:dyDescent="0.25">
      <c r="B6">
        <v>20</v>
      </c>
      <c r="C6" s="4">
        <f t="shared" si="1"/>
        <v>3.4</v>
      </c>
      <c r="D6" s="4">
        <f t="shared" si="0"/>
        <v>2.2666666666666666</v>
      </c>
    </row>
    <row r="7" spans="1:4" x14ac:dyDescent="0.25">
      <c r="B7">
        <v>30</v>
      </c>
      <c r="C7" s="4">
        <f t="shared" si="1"/>
        <v>5.0999999999999996</v>
      </c>
      <c r="D7" s="4">
        <f t="shared" si="0"/>
        <v>3.4</v>
      </c>
    </row>
    <row r="8" spans="1:4" x14ac:dyDescent="0.25">
      <c r="B8">
        <v>50</v>
      </c>
      <c r="C8" s="4">
        <f t="shared" si="1"/>
        <v>8.5</v>
      </c>
      <c r="D8" s="4">
        <f t="shared" si="0"/>
        <v>5.666666666666667</v>
      </c>
    </row>
    <row r="9" spans="1:4" x14ac:dyDescent="0.25">
      <c r="B9">
        <v>80</v>
      </c>
      <c r="C9" s="4">
        <f t="shared" si="1"/>
        <v>13.6</v>
      </c>
      <c r="D9" s="4">
        <f t="shared" si="0"/>
        <v>9.0666666666666664</v>
      </c>
    </row>
    <row r="10" spans="1:4" x14ac:dyDescent="0.25">
      <c r="B10">
        <v>100</v>
      </c>
      <c r="C10" s="4">
        <f t="shared" si="1"/>
        <v>17</v>
      </c>
      <c r="D10" s="4">
        <f>C10/3*2</f>
        <v>11.333333333333334</v>
      </c>
    </row>
  </sheetData>
  <mergeCells count="1">
    <mergeCell ref="B2:D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4E26-3157-4D66-AC0C-4FB2CBF0BF47}">
  <dimension ref="A1:E11"/>
  <sheetViews>
    <sheetView workbookViewId="0">
      <selection activeCell="H9" sqref="H9"/>
    </sheetView>
  </sheetViews>
  <sheetFormatPr baseColWidth="10" defaultRowHeight="15" x14ac:dyDescent="0.25"/>
  <cols>
    <col min="1" max="1" width="26.5703125" bestFit="1" customWidth="1"/>
    <col min="4" max="4" width="20.28515625" bestFit="1" customWidth="1"/>
    <col min="5" max="5" width="22.28515625" bestFit="1" customWidth="1"/>
  </cols>
  <sheetData>
    <row r="1" spans="1:5" x14ac:dyDescent="0.25">
      <c r="A1" t="s">
        <v>12</v>
      </c>
      <c r="B1">
        <v>24</v>
      </c>
    </row>
    <row r="2" spans="1:5" x14ac:dyDescent="0.25">
      <c r="A2" t="s">
        <v>0</v>
      </c>
      <c r="B2">
        <v>84669000</v>
      </c>
      <c r="C2" s="12" t="s">
        <v>14</v>
      </c>
      <c r="D2" s="12"/>
      <c r="E2" s="12"/>
    </row>
    <row r="3" spans="1:5" x14ac:dyDescent="0.25">
      <c r="A3" t="s">
        <v>13</v>
      </c>
      <c r="B3" s="5">
        <v>1000000000</v>
      </c>
      <c r="C3" s="3"/>
      <c r="D3" s="3"/>
      <c r="E3" s="3"/>
    </row>
    <row r="4" spans="1:5" x14ac:dyDescent="0.25">
      <c r="A4" t="s">
        <v>16</v>
      </c>
      <c r="B4" s="6">
        <f>B3*B1/B2/1000</f>
        <v>0.28345675512879565</v>
      </c>
      <c r="C4" t="s">
        <v>3</v>
      </c>
      <c r="D4" t="s">
        <v>15</v>
      </c>
      <c r="E4" t="s">
        <v>17</v>
      </c>
    </row>
    <row r="5" spans="1:5" x14ac:dyDescent="0.25">
      <c r="C5">
        <v>1</v>
      </c>
      <c r="D5" s="4">
        <f>1/$B$4*C5</f>
        <v>3.5278750000000003</v>
      </c>
      <c r="E5" s="7">
        <f>D5/4</f>
        <v>0.88196875000000008</v>
      </c>
    </row>
    <row r="6" spans="1:5" x14ac:dyDescent="0.25">
      <c r="C6">
        <v>5</v>
      </c>
      <c r="D6" s="4">
        <f t="shared" ref="D6:D11" si="0">1/$B$4*C6</f>
        <v>17.639375000000001</v>
      </c>
      <c r="E6" s="7">
        <f t="shared" ref="E6:E11" si="1">D6/4</f>
        <v>4.4098437500000003</v>
      </c>
    </row>
    <row r="7" spans="1:5" x14ac:dyDescent="0.25">
      <c r="C7">
        <v>10</v>
      </c>
      <c r="D7" s="2">
        <f t="shared" si="0"/>
        <v>35.278750000000002</v>
      </c>
      <c r="E7" s="7">
        <f t="shared" si="1"/>
        <v>8.8196875000000006</v>
      </c>
    </row>
    <row r="8" spans="1:5" x14ac:dyDescent="0.25">
      <c r="C8">
        <v>20</v>
      </c>
      <c r="D8" s="2">
        <f t="shared" si="0"/>
        <v>70.557500000000005</v>
      </c>
      <c r="E8" s="8">
        <f t="shared" si="1"/>
        <v>17.639375000000001</v>
      </c>
    </row>
    <row r="9" spans="1:5" x14ac:dyDescent="0.25">
      <c r="C9">
        <v>30</v>
      </c>
      <c r="D9" s="2">
        <f t="shared" si="0"/>
        <v>105.83625000000001</v>
      </c>
      <c r="E9" s="8">
        <f t="shared" si="1"/>
        <v>26.459062500000002</v>
      </c>
    </row>
    <row r="10" spans="1:5" x14ac:dyDescent="0.25">
      <c r="C10">
        <v>50</v>
      </c>
      <c r="D10" s="2">
        <f t="shared" si="0"/>
        <v>176.39375000000001</v>
      </c>
      <c r="E10" s="8">
        <f t="shared" si="1"/>
        <v>44.098437500000003</v>
      </c>
    </row>
    <row r="11" spans="1:5" x14ac:dyDescent="0.25">
      <c r="C11">
        <v>100</v>
      </c>
      <c r="D11" s="2">
        <f t="shared" si="0"/>
        <v>352.78750000000002</v>
      </c>
      <c r="E11" s="8">
        <f t="shared" si="1"/>
        <v>88.196875000000006</v>
      </c>
    </row>
  </sheetData>
  <mergeCells count="1">
    <mergeCell ref="C2:E2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C99C-1157-4846-8A1F-B7890EE647D2}">
  <dimension ref="B1:N7"/>
  <sheetViews>
    <sheetView workbookViewId="0">
      <selection activeCell="O15" sqref="O15"/>
    </sheetView>
  </sheetViews>
  <sheetFormatPr baseColWidth="10" defaultRowHeight="15" x14ac:dyDescent="0.25"/>
  <cols>
    <col min="2" max="2" width="17.28515625" bestFit="1" customWidth="1"/>
    <col min="4" max="4" width="12" bestFit="1" customWidth="1"/>
    <col min="5" max="5" width="20.85546875" bestFit="1" customWidth="1"/>
    <col min="6" max="6" width="15.85546875" customWidth="1"/>
    <col min="7" max="7" width="16.7109375" bestFit="1" customWidth="1"/>
    <col min="8" max="8" width="6.5703125" bestFit="1" customWidth="1"/>
    <col min="9" max="9" width="6" bestFit="1" customWidth="1"/>
    <col min="10" max="10" width="6" customWidth="1"/>
    <col min="11" max="11" width="12" bestFit="1" customWidth="1"/>
  </cols>
  <sheetData>
    <row r="1" spans="2:14" x14ac:dyDescent="0.25">
      <c r="D1" s="9">
        <f>D2*0.04/10^9</f>
        <v>79.48888888888888</v>
      </c>
    </row>
    <row r="2" spans="2:14" x14ac:dyDescent="0.25">
      <c r="B2" t="s">
        <v>21</v>
      </c>
      <c r="D2" s="5">
        <f>SUM(D4:D7)</f>
        <v>1987222222222.2222</v>
      </c>
      <c r="K2" t="s">
        <v>28</v>
      </c>
      <c r="L2" s="5">
        <f>SUM(L4:L7)</f>
        <v>86533592397.861404</v>
      </c>
      <c r="M2" s="9">
        <f>SUM(M4:M7)</f>
        <v>86.533592397861412</v>
      </c>
      <c r="N2" s="9">
        <f>SUM(N4:N7)</f>
        <v>75.213189012188465</v>
      </c>
    </row>
    <row r="3" spans="2:14" x14ac:dyDescent="0.25">
      <c r="C3" t="s">
        <v>22</v>
      </c>
      <c r="D3" t="s">
        <v>18</v>
      </c>
      <c r="E3" t="s">
        <v>25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26</v>
      </c>
      <c r="L3" t="s">
        <v>27</v>
      </c>
      <c r="M3" t="s">
        <v>29</v>
      </c>
      <c r="N3" t="s">
        <v>35</v>
      </c>
    </row>
    <row r="4" spans="2:14" x14ac:dyDescent="0.25">
      <c r="B4" t="s">
        <v>19</v>
      </c>
      <c r="C4">
        <v>875</v>
      </c>
      <c r="D4" s="5">
        <f>C4/(3.6*10^6)*10^15</f>
        <v>243055555555.55554</v>
      </c>
      <c r="E4" s="10">
        <f>D4/365/84669000</f>
        <v>7.8648103988361298</v>
      </c>
      <c r="F4" s="10"/>
      <c r="H4">
        <v>236</v>
      </c>
      <c r="I4">
        <v>27485</v>
      </c>
      <c r="J4">
        <f>H4/I4</f>
        <v>8.5865017282153906E-3</v>
      </c>
      <c r="K4">
        <f>J4*(3.6*10^6)/10^6</f>
        <v>3.0911406221575406E-2</v>
      </c>
      <c r="L4" s="5">
        <f>K4*D4</f>
        <v>7513189012.1884661</v>
      </c>
      <c r="M4" s="9">
        <f>L4/10^9</f>
        <v>7.5131890121884659</v>
      </c>
      <c r="N4" s="9">
        <f>M4</f>
        <v>7.5131890121884659</v>
      </c>
    </row>
    <row r="5" spans="2:14" x14ac:dyDescent="0.25">
      <c r="B5" t="s">
        <v>20</v>
      </c>
      <c r="C5">
        <v>-21</v>
      </c>
      <c r="D5" s="5">
        <f t="shared" ref="D5:D7" si="0">C5/(3.6*10^6)*10^15</f>
        <v>-5833333333.333333</v>
      </c>
      <c r="E5" s="10">
        <f t="shared" ref="E5:E7" si="1">D5/365/84669000</f>
        <v>-0.18875544957206711</v>
      </c>
      <c r="F5" s="10"/>
      <c r="L5" s="5"/>
      <c r="M5" s="9"/>
    </row>
    <row r="6" spans="2:14" x14ac:dyDescent="0.25">
      <c r="B6" t="s">
        <v>23</v>
      </c>
      <c r="C6">
        <v>3797</v>
      </c>
      <c r="D6" s="5">
        <f t="shared" si="0"/>
        <v>1054722222222.2223</v>
      </c>
      <c r="E6" s="10">
        <f t="shared" si="1"/>
        <v>34.128782953578046</v>
      </c>
      <c r="F6" s="10">
        <v>80</v>
      </c>
      <c r="G6">
        <f>F6*0.92</f>
        <v>73.600000000000009</v>
      </c>
      <c r="K6">
        <f>G6/159/9.8</f>
        <v>4.7233987934796565E-2</v>
      </c>
      <c r="L6" s="5">
        <f t="shared" ref="L6:L7" si="2">K6*D6</f>
        <v>49818736719.006271</v>
      </c>
      <c r="M6" s="9">
        <f t="shared" ref="M6:M7" si="3">L6/10^9</f>
        <v>49.818736719006274</v>
      </c>
      <c r="N6">
        <v>42.9</v>
      </c>
    </row>
    <row r="7" spans="2:14" x14ac:dyDescent="0.25">
      <c r="B7" t="s">
        <v>24</v>
      </c>
      <c r="C7">
        <v>2503</v>
      </c>
      <c r="D7" s="5">
        <f t="shared" si="0"/>
        <v>695277777777.77771</v>
      </c>
      <c r="E7" s="10">
        <f t="shared" si="1"/>
        <v>22.497851918042095</v>
      </c>
      <c r="F7" s="10"/>
      <c r="K7">
        <v>4.2000000000000003E-2</v>
      </c>
      <c r="L7" s="5">
        <f t="shared" si="2"/>
        <v>29201666666.666664</v>
      </c>
      <c r="M7" s="9">
        <f t="shared" si="3"/>
        <v>29.201666666666664</v>
      </c>
      <c r="N7">
        <v>24.8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Flächenbedarf</vt:lpstr>
      <vt:lpstr>Wärmepumpe</vt:lpstr>
      <vt:lpstr>Atom</vt:lpstr>
      <vt:lpstr>Einfuhr Fossil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Appel, Soenke</dc:creator>
  <cp:lastModifiedBy>Appel, Sönke</cp:lastModifiedBy>
  <dcterms:created xsi:type="dcterms:W3CDTF">2015-06-05T18:19:34Z</dcterms:created>
  <dcterms:modified xsi:type="dcterms:W3CDTF">2024-12-17T15:31:21Z</dcterms:modified>
</cp:coreProperties>
</file>